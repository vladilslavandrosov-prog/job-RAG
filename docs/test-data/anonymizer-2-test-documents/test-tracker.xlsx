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ест-лист" sheetId="1" state="visible" r:id="rId1"/>
    <sheet xmlns:r="http://schemas.openxmlformats.org/officeDocument/2006/relationships"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9"/>
    </font>
    <font>
      <name val="Arial"/>
      <b val="1"/>
      <color rgb="00FFFFFF"/>
      <sz val="9"/>
    </font>
    <font>
      <name val="Arial"/>
      <sz val="9"/>
    </font>
    <font>
      <name val="Arial"/>
      <i val="1"/>
      <color rgb="00777777"/>
      <sz val="8"/>
    </font>
    <font>
      <name val="Arial"/>
      <b val="1"/>
      <sz val="13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A2B4C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3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3" borderId="1" pivotButton="0" quotePrefix="0" xfId="0"/>
    <xf numFmtId="0" fontId="5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pivotButton="0" quotePrefix="0" xfId="0"/>
    <xf numFmtId="0" fontId="8" fillId="0" borderId="1" pivotButton="0" quotePrefix="0" xfId="0"/>
    <xf numFmtId="164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12" customWidth="1" min="3" max="3"/>
    <col width="16" customWidth="1" min="4" max="4"/>
    <col width="16" customWidth="1" min="5" max="5"/>
    <col width="14" customWidth="1" min="6" max="6"/>
    <col width="12" customWidth="1" min="7" max="7"/>
    <col width="14" customWidth="1" min="8" max="8"/>
    <col width="40" customWidth="1" min="9" max="9"/>
  </cols>
  <sheetData>
    <row r="1">
      <c r="A1" s="1" t="inlineStr">
        <is>
          <t>ТЕСТ-ЛИСТ — сценарий «Анонимизатор-2» (обезличивание в документе)</t>
        </is>
      </c>
    </row>
    <row r="2" ht="28" customHeight="1">
      <c r="A2" s="2" t="inlineStr">
        <is>
          <t>Заполнять только жёлтые ячейки (столбцы E, G, H, I) по каждой строке после прогона документа через AI Guard. Столбец F считается по формуле. Столбец D — количество ПДн-сущностей в документе по manifest.json, не редактировать.</t>
        </is>
      </c>
    </row>
    <row r="4">
      <c r="A4" s="3" t="inlineStr">
        <is>
          <t>№</t>
        </is>
      </c>
      <c r="B4" s="3" t="inlineStr">
        <is>
          <t>Документ</t>
        </is>
      </c>
      <c r="C4" s="3" t="inlineStr">
        <is>
          <t>Формат</t>
        </is>
      </c>
      <c r="D4" s="3" t="inlineStr">
        <is>
          <t>Сущностей всего
(из manifest.json)</t>
        </is>
      </c>
      <c r="E4" s="3" t="inlineStr">
        <is>
          <t>Распознано и
замаскировано</t>
        </is>
      </c>
      <c r="F4" s="3" t="inlineStr">
        <is>
          <t>% распознавания</t>
        </is>
      </c>
      <c r="G4" s="3" t="inlineStr">
        <is>
          <t>Утечка
обнаружена?</t>
        </is>
      </c>
      <c r="H4" s="3" t="inlineStr">
        <is>
          <t>Демаскирование
корректно?</t>
        </is>
      </c>
      <c r="I4" s="3" t="inlineStr">
        <is>
          <t>Комментарий</t>
        </is>
      </c>
    </row>
    <row r="5">
      <c r="A5" s="4" t="n">
        <v>1</v>
      </c>
      <c r="B5" s="5" t="inlineStr">
        <is>
          <t>Анкета клиента (Смирнов П.А.)</t>
        </is>
      </c>
      <c r="C5" s="4" t="inlineStr">
        <is>
          <t>txt</t>
        </is>
      </c>
      <c r="D5" s="4" t="n">
        <v>12</v>
      </c>
      <c r="E5" s="6" t="n"/>
      <c r="F5" s="7">
        <f>IF(E5="","",E5/D5)</f>
        <v/>
      </c>
      <c r="G5" s="6" t="n"/>
      <c r="H5" s="6" t="n"/>
      <c r="I5" s="8" t="n"/>
    </row>
    <row r="6">
      <c r="A6" s="4" t="n">
        <v>2</v>
      </c>
      <c r="B6" s="5" t="inlineStr">
        <is>
          <t>Анкета клиента (Смирнов П.А.)</t>
        </is>
      </c>
      <c r="C6" s="4" t="inlineStr">
        <is>
          <t>json</t>
        </is>
      </c>
      <c r="D6" s="4" t="n">
        <v>12</v>
      </c>
      <c r="E6" s="6" t="n"/>
      <c r="F6" s="7">
        <f>IF(E6="","",E6/D6)</f>
        <v/>
      </c>
      <c r="G6" s="6" t="n"/>
      <c r="H6" s="6" t="n"/>
      <c r="I6" s="8" t="n"/>
    </row>
    <row r="7">
      <c r="A7" s="4" t="n">
        <v>3</v>
      </c>
      <c r="B7" s="5" t="inlineStr">
        <is>
          <t>Анкета клиента (Смирнов П.А.)</t>
        </is>
      </c>
      <c r="C7" s="4" t="inlineStr">
        <is>
          <t>xml</t>
        </is>
      </c>
      <c r="D7" s="4" t="n">
        <v>12</v>
      </c>
      <c r="E7" s="6" t="n"/>
      <c r="F7" s="7">
        <f>IF(E7="","",E7/D7)</f>
        <v/>
      </c>
      <c r="G7" s="6" t="n"/>
      <c r="H7" s="6" t="n"/>
      <c r="I7" s="8" t="n"/>
    </row>
    <row r="8">
      <c r="A8" s="4" t="n">
        <v>4</v>
      </c>
      <c r="B8" s="5" t="inlineStr">
        <is>
          <t>Анкета клиента (Смирнов П.А.)</t>
        </is>
      </c>
      <c r="C8" s="4" t="inlineStr">
        <is>
          <t>xlsx</t>
        </is>
      </c>
      <c r="D8" s="4" t="n">
        <v>12</v>
      </c>
      <c r="E8" s="6" t="n"/>
      <c r="F8" s="7">
        <f>IF(E8="","",E8/D8)</f>
        <v/>
      </c>
      <c r="G8" s="6" t="n"/>
      <c r="H8" s="6" t="n"/>
      <c r="I8" s="8" t="n"/>
    </row>
    <row r="9">
      <c r="A9" s="4" t="n">
        <v>5</v>
      </c>
      <c r="B9" s="5" t="inlineStr">
        <is>
          <t>Анкета клиента (Смирнов П.А.)</t>
        </is>
      </c>
      <c r="C9" s="4" t="inlineStr">
        <is>
          <t>docx</t>
        </is>
      </c>
      <c r="D9" s="4" t="n">
        <v>12</v>
      </c>
      <c r="E9" s="6" t="n"/>
      <c r="F9" s="7">
        <f>IF(E9="","",E9/D9)</f>
        <v/>
      </c>
      <c r="G9" s="6" t="n"/>
      <c r="H9" s="6" t="n"/>
      <c r="I9" s="8" t="n"/>
    </row>
    <row r="10">
      <c r="A10" s="4" t="n">
        <v>6</v>
      </c>
      <c r="B10" s="5" t="inlineStr">
        <is>
          <t>Анкета клиента (Смирнов П.А.)</t>
        </is>
      </c>
      <c r="C10" s="4" t="inlineStr">
        <is>
          <t>pptx</t>
        </is>
      </c>
      <c r="D10" s="4" t="n">
        <v>12</v>
      </c>
      <c r="E10" s="6" t="n"/>
      <c r="F10" s="7">
        <f>IF(E10="","",E10/D10)</f>
        <v/>
      </c>
      <c r="G10" s="6" t="n"/>
      <c r="H10" s="6" t="n"/>
      <c r="I10" s="8" t="n"/>
    </row>
    <row r="11">
      <c r="A11" s="4" t="n">
        <v>7</v>
      </c>
      <c r="B11" s="5" t="inlineStr">
        <is>
          <t>Анкета клиента (Смирнов П.А.)</t>
        </is>
      </c>
      <c r="C11" s="4" t="inlineStr">
        <is>
          <t>pdf-текст</t>
        </is>
      </c>
      <c r="D11" s="4" t="n">
        <v>12</v>
      </c>
      <c r="E11" s="6" t="n"/>
      <c r="F11" s="7">
        <f>IF(E11="","",E11/D11)</f>
        <v/>
      </c>
      <c r="G11" s="6" t="n"/>
      <c r="H11" s="6" t="n"/>
      <c r="I11" s="8" t="n"/>
    </row>
    <row r="12">
      <c r="A12" s="4" t="n">
        <v>8</v>
      </c>
      <c r="B12" s="5" t="inlineStr">
        <is>
          <t>Анкета клиента (Смирнов П.А.)</t>
        </is>
      </c>
      <c r="C12" s="4" t="inlineStr">
        <is>
          <t>pdf-скан</t>
        </is>
      </c>
      <c r="D12" s="4" t="n">
        <v>12</v>
      </c>
      <c r="E12" s="6" t="n"/>
      <c r="F12" s="7">
        <f>IF(E12="","",E12/D12)</f>
        <v/>
      </c>
      <c r="G12" s="6" t="n"/>
      <c r="H12" s="6" t="n"/>
      <c r="I12" s="8" t="n"/>
    </row>
    <row r="13">
      <c r="A13" s="4" t="n">
        <v>9</v>
      </c>
      <c r="B13" s="5" t="inlineStr">
        <is>
          <t>Служебная записка (Кузнецова А.В.)</t>
        </is>
      </c>
      <c r="C13" s="4" t="inlineStr">
        <is>
          <t>txt</t>
        </is>
      </c>
      <c r="D13" s="4" t="n">
        <v>10</v>
      </c>
      <c r="E13" s="6" t="n"/>
      <c r="F13" s="7">
        <f>IF(E13="","",E13/D13)</f>
        <v/>
      </c>
      <c r="G13" s="6" t="n"/>
      <c r="H13" s="6" t="n"/>
      <c r="I13" s="8" t="n"/>
    </row>
    <row r="14">
      <c r="A14" s="4" t="n">
        <v>10</v>
      </c>
      <c r="B14" s="5" t="inlineStr">
        <is>
          <t>Служебная записка (Кузнецова А.В.)</t>
        </is>
      </c>
      <c r="C14" s="4" t="inlineStr">
        <is>
          <t>json</t>
        </is>
      </c>
      <c r="D14" s="4" t="n">
        <v>10</v>
      </c>
      <c r="E14" s="6" t="n"/>
      <c r="F14" s="7">
        <f>IF(E14="","",E14/D14)</f>
        <v/>
      </c>
      <c r="G14" s="6" t="n"/>
      <c r="H14" s="6" t="n"/>
      <c r="I14" s="8" t="n"/>
    </row>
    <row r="15">
      <c r="A15" s="4" t="n">
        <v>11</v>
      </c>
      <c r="B15" s="5" t="inlineStr">
        <is>
          <t>Служебная записка (Кузнецова А.В.)</t>
        </is>
      </c>
      <c r="C15" s="4" t="inlineStr">
        <is>
          <t>xml</t>
        </is>
      </c>
      <c r="D15" s="4" t="n">
        <v>10</v>
      </c>
      <c r="E15" s="6" t="n"/>
      <c r="F15" s="7">
        <f>IF(E15="","",E15/D15)</f>
        <v/>
      </c>
      <c r="G15" s="6" t="n"/>
      <c r="H15" s="6" t="n"/>
      <c r="I15" s="8" t="n"/>
    </row>
    <row r="16">
      <c r="A16" s="4" t="n">
        <v>12</v>
      </c>
      <c r="B16" s="5" t="inlineStr">
        <is>
          <t>Служебная записка (Кузнецова А.В.)</t>
        </is>
      </c>
      <c r="C16" s="4" t="inlineStr">
        <is>
          <t>xlsx</t>
        </is>
      </c>
      <c r="D16" s="4" t="n">
        <v>10</v>
      </c>
      <c r="E16" s="6" t="n"/>
      <c r="F16" s="7">
        <f>IF(E16="","",E16/D16)</f>
        <v/>
      </c>
      <c r="G16" s="6" t="n"/>
      <c r="H16" s="6" t="n"/>
      <c r="I16" s="8" t="n"/>
    </row>
    <row r="17">
      <c r="A17" s="4" t="n">
        <v>13</v>
      </c>
      <c r="B17" s="5" t="inlineStr">
        <is>
          <t>Служебная записка (Кузнецова А.В.)</t>
        </is>
      </c>
      <c r="C17" s="4" t="inlineStr">
        <is>
          <t>docx</t>
        </is>
      </c>
      <c r="D17" s="4" t="n">
        <v>10</v>
      </c>
      <c r="E17" s="6" t="n"/>
      <c r="F17" s="7">
        <f>IF(E17="","",E17/D17)</f>
        <v/>
      </c>
      <c r="G17" s="6" t="n"/>
      <c r="H17" s="6" t="n"/>
      <c r="I17" s="8" t="n"/>
    </row>
    <row r="18">
      <c r="A18" s="4" t="n">
        <v>14</v>
      </c>
      <c r="B18" s="5" t="inlineStr">
        <is>
          <t>Служебная записка (Кузнецова А.В.)</t>
        </is>
      </c>
      <c r="C18" s="4" t="inlineStr">
        <is>
          <t>pptx</t>
        </is>
      </c>
      <c r="D18" s="4" t="n">
        <v>10</v>
      </c>
      <c r="E18" s="6" t="n"/>
      <c r="F18" s="7">
        <f>IF(E18="","",E18/D18)</f>
        <v/>
      </c>
      <c r="G18" s="6" t="n"/>
      <c r="H18" s="6" t="n"/>
      <c r="I18" s="8" t="n"/>
    </row>
    <row r="19">
      <c r="A19" s="4" t="n">
        <v>15</v>
      </c>
      <c r="B19" s="5" t="inlineStr">
        <is>
          <t>Служебная записка (Кузнецова А.В.)</t>
        </is>
      </c>
      <c r="C19" s="4" t="inlineStr">
        <is>
          <t>pdf-текст</t>
        </is>
      </c>
      <c r="D19" s="4" t="n">
        <v>10</v>
      </c>
      <c r="E19" s="6" t="n"/>
      <c r="F19" s="7">
        <f>IF(E19="","",E19/D19)</f>
        <v/>
      </c>
      <c r="G19" s="6" t="n"/>
      <c r="H19" s="6" t="n"/>
      <c r="I19" s="8" t="n"/>
    </row>
    <row r="20">
      <c r="A20" s="4" t="n">
        <v>16</v>
      </c>
      <c r="B20" s="5" t="inlineStr">
        <is>
          <t>Служебная записка (Кузнецова А.В.)</t>
        </is>
      </c>
      <c r="C20" s="4" t="inlineStr">
        <is>
          <t>pdf-скан</t>
        </is>
      </c>
      <c r="D20" s="4" t="n">
        <v>10</v>
      </c>
      <c r="E20" s="6" t="n"/>
      <c r="F20" s="7">
        <f>IF(E20="","",E20/D20)</f>
        <v/>
      </c>
      <c r="G20" s="6" t="n"/>
      <c r="H20" s="6" t="n"/>
      <c r="I20" s="8" t="n"/>
    </row>
    <row r="21">
      <c r="A21" s="4" t="n">
        <v>17</v>
      </c>
      <c r="B21" s="5" t="inlineStr">
        <is>
          <t>Реестр операций (5 клиентов)</t>
        </is>
      </c>
      <c r="C21" s="4" t="inlineStr">
        <is>
          <t>txt</t>
        </is>
      </c>
      <c r="D21" s="4" t="n">
        <v>30</v>
      </c>
      <c r="E21" s="6" t="n"/>
      <c r="F21" s="7">
        <f>IF(E21="","",E21/D21)</f>
        <v/>
      </c>
      <c r="G21" s="6" t="n"/>
      <c r="H21" s="6" t="n"/>
      <c r="I21" s="8" t="n"/>
    </row>
    <row r="22">
      <c r="A22" s="4" t="n">
        <v>18</v>
      </c>
      <c r="B22" s="5" t="inlineStr">
        <is>
          <t>Реестр операций (5 клиентов)</t>
        </is>
      </c>
      <c r="C22" s="4" t="inlineStr">
        <is>
          <t>json</t>
        </is>
      </c>
      <c r="D22" s="4" t="n">
        <v>30</v>
      </c>
      <c r="E22" s="6" t="n"/>
      <c r="F22" s="7">
        <f>IF(E22="","",E22/D22)</f>
        <v/>
      </c>
      <c r="G22" s="6" t="n"/>
      <c r="H22" s="6" t="n"/>
      <c r="I22" s="8" t="n"/>
    </row>
    <row r="23">
      <c r="A23" s="4" t="n">
        <v>19</v>
      </c>
      <c r="B23" s="5" t="inlineStr">
        <is>
          <t>Реестр операций (5 клиентов)</t>
        </is>
      </c>
      <c r="C23" s="4" t="inlineStr">
        <is>
          <t>xml</t>
        </is>
      </c>
      <c r="D23" s="4" t="n">
        <v>30</v>
      </c>
      <c r="E23" s="6" t="n"/>
      <c r="F23" s="7">
        <f>IF(E23="","",E23/D23)</f>
        <v/>
      </c>
      <c r="G23" s="6" t="n"/>
      <c r="H23" s="6" t="n"/>
      <c r="I23" s="8" t="n"/>
    </row>
    <row r="24">
      <c r="A24" s="4" t="n">
        <v>20</v>
      </c>
      <c r="B24" s="5" t="inlineStr">
        <is>
          <t>Реестр операций (5 клиентов)</t>
        </is>
      </c>
      <c r="C24" s="4" t="inlineStr">
        <is>
          <t>xlsx</t>
        </is>
      </c>
      <c r="D24" s="4" t="n">
        <v>30</v>
      </c>
      <c r="E24" s="6" t="n"/>
      <c r="F24" s="7">
        <f>IF(E24="","",E24/D24)</f>
        <v/>
      </c>
      <c r="G24" s="6" t="n"/>
      <c r="H24" s="6" t="n"/>
      <c r="I24" s="8" t="n"/>
    </row>
    <row r="25">
      <c r="A25" s="4" t="n">
        <v>21</v>
      </c>
      <c r="B25" s="5" t="inlineStr">
        <is>
          <t>Реестр операций (5 клиентов)</t>
        </is>
      </c>
      <c r="C25" s="4" t="inlineStr">
        <is>
          <t>docx</t>
        </is>
      </c>
      <c r="D25" s="4" t="n">
        <v>30</v>
      </c>
      <c r="E25" s="6" t="n"/>
      <c r="F25" s="7">
        <f>IF(E25="","",E25/D25)</f>
        <v/>
      </c>
      <c r="G25" s="6" t="n"/>
      <c r="H25" s="6" t="n"/>
      <c r="I25" s="8" t="n"/>
    </row>
    <row r="26">
      <c r="A26" s="4" t="n">
        <v>22</v>
      </c>
      <c r="B26" s="5" t="inlineStr">
        <is>
          <t>Реестр операций (5 клиентов)</t>
        </is>
      </c>
      <c r="C26" s="4" t="inlineStr">
        <is>
          <t>pptx</t>
        </is>
      </c>
      <c r="D26" s="4" t="n">
        <v>30</v>
      </c>
      <c r="E26" s="6" t="n"/>
      <c r="F26" s="7">
        <f>IF(E26="","",E26/D26)</f>
        <v/>
      </c>
      <c r="G26" s="6" t="n"/>
      <c r="H26" s="6" t="n"/>
      <c r="I26" s="8" t="n"/>
    </row>
    <row r="27">
      <c r="A27" s="4" t="n">
        <v>23</v>
      </c>
      <c r="B27" s="5" t="inlineStr">
        <is>
          <t>Реестр операций (5 клиентов)</t>
        </is>
      </c>
      <c r="C27" s="4" t="inlineStr">
        <is>
          <t>pdf-текст</t>
        </is>
      </c>
      <c r="D27" s="4" t="n">
        <v>30</v>
      </c>
      <c r="E27" s="6" t="n"/>
      <c r="F27" s="7">
        <f>IF(E27="","",E27/D27)</f>
        <v/>
      </c>
      <c r="G27" s="6" t="n"/>
      <c r="H27" s="6" t="n"/>
      <c r="I27" s="8" t="n"/>
    </row>
    <row r="28">
      <c r="A28" s="4" t="n">
        <v>24</v>
      </c>
      <c r="B28" s="5" t="inlineStr">
        <is>
          <t>Реестр операций (5 клиентов)</t>
        </is>
      </c>
      <c r="C28" s="4" t="inlineStr">
        <is>
          <t>pdf-скан</t>
        </is>
      </c>
      <c r="D28" s="4" t="n">
        <v>30</v>
      </c>
      <c r="E28" s="6" t="n"/>
      <c r="F28" s="7">
        <f>IF(E28="","",E28/D28)</f>
        <v/>
      </c>
      <c r="G28" s="6" t="n"/>
      <c r="H28" s="6" t="n"/>
      <c r="I28" s="8" t="n"/>
    </row>
    <row r="30" ht="26" customHeight="1">
      <c r="A30" s="9" t="inlineStr">
        <is>
          <t>Пример заполнения строки 1: E5=12 (все 12 сущностей распознаны), G5="Нет", H5="Да", I5="—" (замечаний нет). Столбец F посчитается сам: 100.0%.</t>
        </is>
      </c>
    </row>
    <row r="32">
      <c r="A32" s="10" t="inlineStr">
        <is>
          <t>ТЕСТОВЫЕ ДАННЫЕ. Файл — трекер результатов для тестового набора docs/test-data/anonymizer-2-test-documents/. Ground truth по сущностям — в manifest.json там же.</t>
        </is>
      </c>
    </row>
  </sheetData>
  <mergeCells count="4">
    <mergeCell ref="A1:I1"/>
    <mergeCell ref="A32:I32"/>
    <mergeCell ref="A30:I30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34" customWidth="1" min="4" max="4"/>
  </cols>
  <sheetData>
    <row r="1">
      <c r="A1" s="11" t="inlineStr">
        <is>
          <t>СВОДКА ПО ФОРМАТАМ</t>
        </is>
      </c>
    </row>
    <row r="3">
      <c r="A3" s="12" t="inlineStr">
        <is>
          <t>Формат</t>
        </is>
      </c>
      <c r="B3" s="12" t="inlineStr">
        <is>
          <t>Ср. % распознавания</t>
        </is>
      </c>
      <c r="C3" s="12" t="inlineStr">
        <is>
          <t>Есть утечки?</t>
        </is>
      </c>
      <c r="D3" s="12" t="inlineStr">
        <is>
          <t>Критерий приёмки (≥98%, 0 утечек)</t>
        </is>
      </c>
    </row>
    <row r="4">
      <c r="A4" s="13" t="inlineStr">
        <is>
          <t>txt</t>
        </is>
      </c>
      <c r="B4" s="14">
        <f>IFERROR(AVERAGE('Тест-лист'!F5,'Тест-лист'!F13,'Тест-лист'!F21),"")</f>
        <v/>
      </c>
      <c r="C4" s="13">
        <f>IF(OR('Тест-лист'!G5="Да",'Тест-лист'!G13="Да",'Тест-лист'!G21="Да"),"ЕСТЬ","нет")</f>
        <v/>
      </c>
      <c r="D4" s="13">
        <f>IF(AND(B4&gt;=0.98,C4="нет"),"выполнен","не выполнен / не заполнено")</f>
        <v/>
      </c>
    </row>
    <row r="5">
      <c r="A5" s="13" t="inlineStr">
        <is>
          <t>json</t>
        </is>
      </c>
      <c r="B5" s="14">
        <f>IFERROR(AVERAGE('Тест-лист'!F6,'Тест-лист'!F14,'Тест-лист'!F22),"")</f>
        <v/>
      </c>
      <c r="C5" s="13">
        <f>IF(OR('Тест-лист'!G6="Да",'Тест-лист'!G14="Да",'Тест-лист'!G22="Да"),"ЕСТЬ","нет")</f>
        <v/>
      </c>
      <c r="D5" s="13">
        <f>IF(AND(B5&gt;=0.98,C5="нет"),"выполнен","не выполнен / не заполнено")</f>
        <v/>
      </c>
    </row>
    <row r="6">
      <c r="A6" s="13" t="inlineStr">
        <is>
          <t>xml</t>
        </is>
      </c>
      <c r="B6" s="14">
        <f>IFERROR(AVERAGE('Тест-лист'!F7,'Тест-лист'!F15,'Тест-лист'!F23),"")</f>
        <v/>
      </c>
      <c r="C6" s="13">
        <f>IF(OR('Тест-лист'!G7="Да",'Тест-лист'!G15="Да",'Тест-лист'!G23="Да"),"ЕСТЬ","нет")</f>
        <v/>
      </c>
      <c r="D6" s="13">
        <f>IF(AND(B6&gt;=0.98,C6="нет"),"выполнен","не выполнен / не заполнено")</f>
        <v/>
      </c>
    </row>
    <row r="7">
      <c r="A7" s="13" t="inlineStr">
        <is>
          <t>xlsx</t>
        </is>
      </c>
      <c r="B7" s="14">
        <f>IFERROR(AVERAGE('Тест-лист'!F8,'Тест-лист'!F16,'Тест-лист'!F24),"")</f>
        <v/>
      </c>
      <c r="C7" s="13">
        <f>IF(OR('Тест-лист'!G8="Да",'Тест-лист'!G16="Да",'Тест-лист'!G24="Да"),"ЕСТЬ","нет")</f>
        <v/>
      </c>
      <c r="D7" s="13">
        <f>IF(AND(B7&gt;=0.98,C7="нет"),"выполнен","не выполнен / не заполнено")</f>
        <v/>
      </c>
    </row>
    <row r="8">
      <c r="A8" s="13" t="inlineStr">
        <is>
          <t>docx</t>
        </is>
      </c>
      <c r="B8" s="14">
        <f>IFERROR(AVERAGE('Тест-лист'!F9,'Тест-лист'!F17,'Тест-лист'!F25),"")</f>
        <v/>
      </c>
      <c r="C8" s="13">
        <f>IF(OR('Тест-лист'!G9="Да",'Тест-лист'!G17="Да",'Тест-лист'!G25="Да"),"ЕСТЬ","нет")</f>
        <v/>
      </c>
      <c r="D8" s="13">
        <f>IF(AND(B8&gt;=0.98,C8="нет"),"выполнен","не выполнен / не заполнено")</f>
        <v/>
      </c>
    </row>
    <row r="9">
      <c r="A9" s="13" t="inlineStr">
        <is>
          <t>pptx</t>
        </is>
      </c>
      <c r="B9" s="14">
        <f>IFERROR(AVERAGE('Тест-лист'!F10,'Тест-лист'!F18,'Тест-лист'!F26),"")</f>
        <v/>
      </c>
      <c r="C9" s="13">
        <f>IF(OR('Тест-лист'!G10="Да",'Тест-лист'!G18="Да",'Тест-лист'!G26="Да"),"ЕСТЬ","нет")</f>
        <v/>
      </c>
      <c r="D9" s="13">
        <f>IF(AND(B9&gt;=0.98,C9="нет"),"выполнен","не выполнен / не заполнено")</f>
        <v/>
      </c>
    </row>
    <row r="10">
      <c r="A10" s="13" t="inlineStr">
        <is>
          <t>pdf-текст</t>
        </is>
      </c>
      <c r="B10" s="14">
        <f>IFERROR(AVERAGE('Тест-лист'!F11,'Тест-лист'!F19,'Тест-лист'!F27),"")</f>
        <v/>
      </c>
      <c r="C10" s="13">
        <f>IF(OR('Тест-лист'!G11="Да",'Тест-лист'!G19="Да",'Тест-лист'!G27="Да"),"ЕСТЬ","нет")</f>
        <v/>
      </c>
      <c r="D10" s="13">
        <f>IF(AND(B10&gt;=0.98,C10="нет"),"выполнен","не выполнен / не заполнено")</f>
        <v/>
      </c>
    </row>
    <row r="11">
      <c r="A11" s="13" t="inlineStr">
        <is>
          <t>pdf-скан</t>
        </is>
      </c>
      <c r="B11" s="14">
        <f>IFERROR(AVERAGE('Тест-лист'!F12,'Тест-лист'!F20,'Тест-лист'!F28),"")</f>
        <v/>
      </c>
      <c r="C11" s="13">
        <f>IF(OR('Тест-лист'!G12="Да",'Тест-лист'!G20="Да",'Тест-лист'!G28="Да"),"ЕСТЬ","нет")</f>
        <v/>
      </c>
      <c r="D11" s="13">
        <f>IF(AND(B11&gt;=0.98,C11="нет"),"выполнен","не выполнен / не заполнено")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2026-08-06T16:56:33Z</dcterms:created>
  <dcterms:modified xmlns:dcterms="http://purl.org/dc/terms/" xmlns:xsi="http://www.w3.org/2001/XMLSchema-instance" xsi:type="dcterms:W3CDTF">2026-08-06T16:56:33Z</dcterms:modified>
</cp:coreProperties>
</file>