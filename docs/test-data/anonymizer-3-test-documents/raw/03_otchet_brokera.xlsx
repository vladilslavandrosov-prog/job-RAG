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yubov.trinchuk\Desktop\test_docs\"/>
    </mc:Choice>
  </mc:AlternateContent>
  <xr:revisionPtr revIDLastSave="0" documentId="13_ncr:1_{B259F065-59B1-4AC0-9EEC-FF619B794999}" xr6:coauthVersionLast="47" xr6:coauthVersionMax="47" xr10:uidLastSave="{00000000-0000-0000-0000-000000000000}"/>
  <bookViews>
    <workbookView xWindow="34320" yWindow="3255" windowWidth="17280" windowHeight="8880" tabRatio="500" xr2:uid="{00000000-000D-0000-FFFF-FFFF00000000}"/>
  </bookViews>
  <sheets>
    <sheet name="Реквизиты" sheetId="1" r:id="rId1"/>
    <sheet name="Сделки" sheetId="2" r:id="rId2"/>
    <sheet name="Счёт_3060181070000111223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2" l="1"/>
  <c r="F6" i="2"/>
  <c r="G6" i="2" s="1"/>
  <c r="F5" i="2"/>
  <c r="G5" i="2" s="1"/>
  <c r="F4" i="2"/>
  <c r="G4" i="2" s="1"/>
  <c r="F3" i="2"/>
  <c r="G3" i="2" s="1"/>
  <c r="F2" i="2"/>
  <c r="G2" i="2" s="1"/>
  <c r="G7" i="2" s="1"/>
</calcChain>
</file>

<file path=xl/sharedStrings.xml><?xml version="1.0" encoding="utf-8"?>
<sst xmlns="http://schemas.openxmlformats.org/spreadsheetml/2006/main" count="51" uniqueCount="42">
  <si>
    <t>Брокер</t>
  </si>
  <si>
    <t>ООО «ФинИнвест Капитал»</t>
  </si>
  <si>
    <t>Адрес брокера</t>
  </si>
  <si>
    <t>г. Москва, ул. Полярная, д. 8, стр. 2</t>
  </si>
  <si>
    <t>Лицензия</t>
  </si>
  <si>
    <t>Лицензия ЦБ РФ № 045-13999-100000 от 21.05.2015 на осуществление брокерской деятельности</t>
  </si>
  <si>
    <t>ИНН брокера</t>
  </si>
  <si>
    <t>Клиент</t>
  </si>
  <si>
    <t>Григорьева Елена Максимовна</t>
  </si>
  <si>
    <t>Договор на брокерское обслуживание</t>
  </si>
  <si>
    <t>№ БР-7788/24 от 05.09.2024</t>
  </si>
  <si>
    <t>Счёт депо</t>
  </si>
  <si>
    <t>30601810700001112233</t>
  </si>
  <si>
    <t>Брокерский счёт</t>
  </si>
  <si>
    <t>30411810500002223344</t>
  </si>
  <si>
    <t>Отчётный период</t>
  </si>
  <si>
    <t>01.01.2026 – 31.03.2026</t>
  </si>
  <si>
    <t>Дата</t>
  </si>
  <si>
    <t>Тикер</t>
  </si>
  <si>
    <t>Операция</t>
  </si>
  <si>
    <t>Кол-во, шт.</t>
  </si>
  <si>
    <t>Цена, RUB</t>
  </si>
  <si>
    <t>Сумма, RUB</t>
  </si>
  <si>
    <t>Комиссия, RUB</t>
  </si>
  <si>
    <t>12.01.2026</t>
  </si>
  <si>
    <t>SBER</t>
  </si>
  <si>
    <t>Покупка</t>
  </si>
  <si>
    <t>20.01.2026</t>
  </si>
  <si>
    <t>GAZP</t>
  </si>
  <si>
    <t>03.02.2026</t>
  </si>
  <si>
    <t>LKOH</t>
  </si>
  <si>
    <t>Продажа</t>
  </si>
  <si>
    <t>18.02.2026</t>
  </si>
  <si>
    <t>05.03.2026</t>
  </si>
  <si>
    <t>YDEX</t>
  </si>
  <si>
    <t>Итого:</t>
  </si>
  <si>
    <t>Позиции на счёте депо 30601810700001112233 на 31.03.2026</t>
  </si>
  <si>
    <t>Отчёт подготовлен для клиента: Григорьева Е. М.</t>
  </si>
  <si>
    <t>Уполномоченное лицо брокера: Тарасов И. К.</t>
  </si>
  <si>
    <t>Контролёр: Белова Н. С.</t>
  </si>
  <si>
    <t>Контакт поддержки: support@fininvest-cap.ru, +7 495 700-80-90</t>
  </si>
  <si>
    <t xml:space="preserve">Отчёт брокера о состоянии счёта клиента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</si>
</sst>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2" fillId="0" borderId="1" xfId="0" applyFont="1" applyBorder="1"/>
    <xf numFmtId="4" fontId="2" fillId="0" borderId="1" xfId="0" applyNumberFormat="1" applyFont="1" applyBorder="1"/>
    <xf numFmtId="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Normal="100" workbookViewId="0">
      <selection activeCell="B10" sqref="B10"/>
    </sheetView>
  </sheetViews>
  <sheetFormatPr defaultColWidth="8.6640625" defaultRowHeight="14.4" x14ac:dyDescent="0.3"/>
  <cols>
    <col min="1" max="1" width="38" customWidth="1"/>
    <col min="2" max="2" width="75" customWidth="1"/>
  </cols>
  <sheetData>
    <row r="1" spans="1:2" x14ac:dyDescent="0.3">
      <c r="A1" s="1" t="s">
        <v>41</v>
      </c>
      <c r="B1" s="2"/>
    </row>
    <row r="2" spans="1:2" x14ac:dyDescent="0.3">
      <c r="A2" s="2"/>
      <c r="B2" s="2"/>
    </row>
    <row r="3" spans="1:2" x14ac:dyDescent="0.3">
      <c r="A3" s="1" t="s">
        <v>0</v>
      </c>
      <c r="B3" s="2" t="s">
        <v>1</v>
      </c>
    </row>
    <row r="4" spans="1:2" x14ac:dyDescent="0.3">
      <c r="A4" s="1" t="s">
        <v>2</v>
      </c>
      <c r="B4" s="2" t="s">
        <v>3</v>
      </c>
    </row>
    <row r="5" spans="1:2" x14ac:dyDescent="0.3">
      <c r="A5" s="1" t="s">
        <v>4</v>
      </c>
      <c r="B5" s="2" t="s">
        <v>5</v>
      </c>
    </row>
    <row r="6" spans="1:2" x14ac:dyDescent="0.3">
      <c r="A6" s="1" t="s">
        <v>6</v>
      </c>
      <c r="B6" s="2">
        <v>7715667780</v>
      </c>
    </row>
    <row r="7" spans="1:2" x14ac:dyDescent="0.3">
      <c r="A7" s="2"/>
      <c r="B7" s="2"/>
    </row>
    <row r="8" spans="1:2" x14ac:dyDescent="0.3">
      <c r="A8" s="1" t="s">
        <v>7</v>
      </c>
      <c r="B8" s="2" t="s">
        <v>8</v>
      </c>
    </row>
    <row r="9" spans="1:2" x14ac:dyDescent="0.3">
      <c r="A9" s="1" t="s">
        <v>9</v>
      </c>
      <c r="B9" s="2" t="s">
        <v>10</v>
      </c>
    </row>
    <row r="10" spans="1:2" x14ac:dyDescent="0.3">
      <c r="A10" s="1" t="s">
        <v>11</v>
      </c>
      <c r="B10" s="2" t="s">
        <v>12</v>
      </c>
    </row>
    <row r="11" spans="1:2" x14ac:dyDescent="0.3">
      <c r="A11" s="1" t="s">
        <v>13</v>
      </c>
      <c r="B11" s="2" t="s">
        <v>14</v>
      </c>
    </row>
    <row r="12" spans="1:2" x14ac:dyDescent="0.3">
      <c r="A12" s="1" t="s">
        <v>15</v>
      </c>
      <c r="B12" s="2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Normal="100" workbookViewId="0"/>
  </sheetViews>
  <sheetFormatPr defaultColWidth="8.6640625" defaultRowHeight="14.4" x14ac:dyDescent="0.3"/>
  <cols>
    <col min="1" max="7" width="15" customWidth="1"/>
  </cols>
  <sheetData>
    <row r="1" spans="1:7" x14ac:dyDescent="0.3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</row>
    <row r="2" spans="1:7" x14ac:dyDescent="0.3">
      <c r="A2" s="4" t="s">
        <v>24</v>
      </c>
      <c r="B2" s="4" t="s">
        <v>25</v>
      </c>
      <c r="C2" s="4" t="s">
        <v>26</v>
      </c>
      <c r="D2" s="4">
        <v>500</v>
      </c>
      <c r="E2" s="5">
        <v>312.45</v>
      </c>
      <c r="F2" s="5">
        <f>D2*E2</f>
        <v>156225</v>
      </c>
      <c r="G2" s="5">
        <f>ROUND(F2*0.0005,2)</f>
        <v>78.11</v>
      </c>
    </row>
    <row r="3" spans="1:7" x14ac:dyDescent="0.3">
      <c r="A3" s="4" t="s">
        <v>27</v>
      </c>
      <c r="B3" s="4" t="s">
        <v>28</v>
      </c>
      <c r="C3" s="4" t="s">
        <v>26</v>
      </c>
      <c r="D3" s="4">
        <v>1200</v>
      </c>
      <c r="E3" s="5">
        <v>168.3</v>
      </c>
      <c r="F3" s="5">
        <f>D3*E3</f>
        <v>201960</v>
      </c>
      <c r="G3" s="5">
        <f>ROUND(F3*0.0005,2)</f>
        <v>100.98</v>
      </c>
    </row>
    <row r="4" spans="1:7" x14ac:dyDescent="0.3">
      <c r="A4" s="4" t="s">
        <v>29</v>
      </c>
      <c r="B4" s="4" t="s">
        <v>30</v>
      </c>
      <c r="C4" s="4" t="s">
        <v>31</v>
      </c>
      <c r="D4" s="4">
        <v>40</v>
      </c>
      <c r="E4" s="5">
        <v>7150</v>
      </c>
      <c r="F4" s="5">
        <f>D4*E4</f>
        <v>286000</v>
      </c>
      <c r="G4" s="5">
        <f>ROUND(F4*0.0005,2)</f>
        <v>143</v>
      </c>
    </row>
    <row r="5" spans="1:7" x14ac:dyDescent="0.3">
      <c r="A5" s="4" t="s">
        <v>32</v>
      </c>
      <c r="B5" s="4" t="s">
        <v>25</v>
      </c>
      <c r="C5" s="4" t="s">
        <v>31</v>
      </c>
      <c r="D5" s="4">
        <v>200</v>
      </c>
      <c r="E5" s="5">
        <v>329.1</v>
      </c>
      <c r="F5" s="5">
        <f>D5*E5</f>
        <v>65820</v>
      </c>
      <c r="G5" s="5">
        <f>ROUND(F5*0.0005,2)</f>
        <v>32.909999999999997</v>
      </c>
    </row>
    <row r="6" spans="1:7" x14ac:dyDescent="0.3">
      <c r="A6" s="4" t="s">
        <v>33</v>
      </c>
      <c r="B6" s="4" t="s">
        <v>34</v>
      </c>
      <c r="C6" s="4" t="s">
        <v>26</v>
      </c>
      <c r="D6" s="4">
        <v>150</v>
      </c>
      <c r="E6" s="5">
        <v>4210.5</v>
      </c>
      <c r="F6" s="5">
        <f>D6*E6</f>
        <v>631575</v>
      </c>
      <c r="G6" s="5">
        <f>ROUND(F6*0.0005,2)</f>
        <v>315.79000000000002</v>
      </c>
    </row>
    <row r="7" spans="1:7" x14ac:dyDescent="0.3">
      <c r="E7" s="1" t="s">
        <v>35</v>
      </c>
      <c r="F7" s="6">
        <f>SUM(F2:F6)</f>
        <v>1341580</v>
      </c>
      <c r="G7" s="6">
        <f>SUM(G2:G6)</f>
        <v>670.79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Normal="100" workbookViewId="0"/>
  </sheetViews>
  <sheetFormatPr defaultColWidth="8.6640625" defaultRowHeight="14.4" x14ac:dyDescent="0.3"/>
  <cols>
    <col min="1" max="1" width="60" customWidth="1"/>
    <col min="2" max="2" width="15" customWidth="1"/>
  </cols>
  <sheetData>
    <row r="1" spans="1:2" x14ac:dyDescent="0.3">
      <c r="A1" s="1" t="s">
        <v>36</v>
      </c>
      <c r="B1" s="2"/>
    </row>
    <row r="2" spans="1:2" x14ac:dyDescent="0.3">
      <c r="A2" s="2"/>
      <c r="B2" s="2"/>
    </row>
    <row r="3" spans="1:2" x14ac:dyDescent="0.3">
      <c r="A3" s="1" t="s">
        <v>18</v>
      </c>
      <c r="B3" s="1" t="s">
        <v>20</v>
      </c>
    </row>
    <row r="4" spans="1:2" x14ac:dyDescent="0.3">
      <c r="A4" s="2" t="s">
        <v>25</v>
      </c>
      <c r="B4" s="2">
        <v>300</v>
      </c>
    </row>
    <row r="5" spans="1:2" x14ac:dyDescent="0.3">
      <c r="A5" s="2" t="s">
        <v>28</v>
      </c>
      <c r="B5" s="2">
        <v>1200</v>
      </c>
    </row>
    <row r="6" spans="1:2" x14ac:dyDescent="0.3">
      <c r="A6" s="2" t="s">
        <v>34</v>
      </c>
      <c r="B6" s="2">
        <v>150</v>
      </c>
    </row>
    <row r="7" spans="1:2" x14ac:dyDescent="0.3">
      <c r="A7" s="2"/>
      <c r="B7" s="2"/>
    </row>
    <row r="8" spans="1:2" x14ac:dyDescent="0.3">
      <c r="A8" s="2" t="s">
        <v>37</v>
      </c>
      <c r="B8" s="2"/>
    </row>
    <row r="9" spans="1:2" x14ac:dyDescent="0.3">
      <c r="A9" s="2" t="s">
        <v>38</v>
      </c>
      <c r="B9" s="2"/>
    </row>
    <row r="10" spans="1:2" x14ac:dyDescent="0.3">
      <c r="A10" s="2" t="s">
        <v>39</v>
      </c>
      <c r="B10" s="2"/>
    </row>
    <row r="11" spans="1:2" x14ac:dyDescent="0.3">
      <c r="A11" s="2" t="s">
        <v>40</v>
      </c>
      <c r="B11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Реквизиты</vt:lpstr>
      <vt:lpstr>Сделки</vt:lpstr>
      <vt:lpstr>Счёт_30601810700001112233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Trinchuk Lyubov</cp:lastModifiedBy>
  <cp:revision>0</cp:revision>
  <dcterms:created xsi:type="dcterms:W3CDTF">2026-08-26T08:10:45Z</dcterms:created>
  <dcterms:modified xsi:type="dcterms:W3CDTF">2026-08-26T08:54:31Z</dcterms:modified>
  <dc:language>en-US</dc:language>
</cp:coreProperties>
</file>